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mbaraldi\Documents\Code\MacroCavo\"/>
    </mc:Choice>
  </mc:AlternateContent>
  <xr:revisionPtr revIDLastSave="0" documentId="13_ncr:1_{85914421-580B-4B75-A8EA-79631B082B2B}" xr6:coauthVersionLast="47" xr6:coauthVersionMax="47" xr10:uidLastSave="{00000000-0000-0000-0000-000000000000}"/>
  <bookViews>
    <workbookView xWindow="-120" yWindow="-120" windowWidth="29040" windowHeight="15840" activeTab="2" xr2:uid="{4489B869-87F5-42EB-BDEF-44672114B773}"/>
  </bookViews>
  <sheets>
    <sheet name="CALCOLO SANZIONE" sheetId="2" r:id="rId1"/>
    <sheet name="CALCOLO INTERESSI" sheetId="3" r:id="rId2"/>
    <sheet name="CALCOLO_MACRO" sheetId="5" r:id="rId3"/>
    <sheet name="CALCOLO_INTERESSI" sheetId="6" r:id="rId4"/>
    <sheet name="PARAMETRI PER SANZIONE RIDOTTA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3" l="1"/>
  <c r="J2" i="3" s="1"/>
  <c r="C2" i="2"/>
  <c r="D2" i="2" s="1"/>
  <c r="I3" i="3"/>
  <c r="J3" i="3" s="1"/>
  <c r="C1" i="3"/>
  <c r="E4" i="3" s="1" a="1"/>
  <c r="E4" i="3" s="1"/>
  <c r="B1" i="3"/>
  <c r="D9" i="3" s="1" a="1"/>
  <c r="D9" i="3" s="1"/>
  <c r="I10" i="3"/>
  <c r="J10" i="3" s="1"/>
  <c r="I9" i="3"/>
  <c r="J9" i="3" s="1"/>
  <c r="I8" i="3"/>
  <c r="J8" i="3" s="1"/>
  <c r="I7" i="3"/>
  <c r="J7" i="3" s="1"/>
  <c r="I6" i="3"/>
  <c r="J6" i="3" s="1"/>
  <c r="I5" i="3"/>
  <c r="J5" i="3" s="1"/>
  <c r="I4" i="3"/>
  <c r="J4" i="3" s="1"/>
  <c r="D8" i="3" l="1" a="1"/>
  <c r="D8" i="3" s="1"/>
  <c r="A9" i="3" s="1" a="1"/>
  <c r="A9" i="3" s="1"/>
  <c r="E2" i="3" a="1"/>
  <c r="E2" i="3" s="1"/>
  <c r="E8" i="3" a="1"/>
  <c r="E8" i="3" s="1"/>
  <c r="E3" i="3" a="1"/>
  <c r="E3" i="3" s="1"/>
  <c r="B3" i="3" s="1" a="1"/>
  <c r="B3" i="3" s="1"/>
  <c r="E6" i="3" a="1"/>
  <c r="E6" i="3" s="1"/>
  <c r="E9" i="3" a="1"/>
  <c r="E9" i="3" s="1"/>
  <c r="E5" i="3" a="1"/>
  <c r="E5" i="3" s="1"/>
  <c r="D2" i="3" a="1"/>
  <c r="D2" i="3" s="1"/>
  <c r="D7" i="3" a="1"/>
  <c r="D7" i="3" s="1"/>
  <c r="D3" i="3" a="1"/>
  <c r="D3" i="3" s="1"/>
  <c r="E10" i="3" a="1"/>
  <c r="E10" i="3" s="1"/>
  <c r="B10" i="3" s="1" a="1"/>
  <c r="B10" i="3" s="1"/>
  <c r="E7" i="3" a="1"/>
  <c r="E7" i="3" s="1"/>
  <c r="D6" i="3" a="1"/>
  <c r="D6" i="3" s="1"/>
  <c r="D5" i="3" a="1"/>
  <c r="D5" i="3" s="1"/>
  <c r="D4" i="3" a="1"/>
  <c r="D4" i="3" s="1"/>
  <c r="D10" i="3" a="1"/>
  <c r="D10" i="3" s="1"/>
  <c r="A10" i="3" s="1" a="1"/>
  <c r="A10" i="3" s="1"/>
  <c r="B8" i="3" l="1" a="1"/>
  <c r="B8" i="3" s="1"/>
  <c r="B9" i="3" a="1"/>
  <c r="B9" i="3" s="1"/>
  <c r="G9" i="3" s="1"/>
  <c r="B2" i="3" a="1"/>
  <c r="B2" i="3" s="1"/>
  <c r="B7" i="3" a="1"/>
  <c r="B7" i="3" s="1"/>
  <c r="B6" i="3" a="1"/>
  <c r="B6" i="3" s="1"/>
  <c r="A3" i="3" a="1"/>
  <c r="A3" i="3" s="1"/>
  <c r="G3" i="3" s="1"/>
  <c r="H3" i="3" s="1"/>
  <c r="K3" i="3" s="1"/>
  <c r="A7" i="3" a="1"/>
  <c r="A7" i="3" s="1"/>
  <c r="A2" i="3" a="1"/>
  <c r="A2" i="3" s="1"/>
  <c r="A8" i="3" a="1"/>
  <c r="A8" i="3" s="1"/>
  <c r="G8" i="3" s="1"/>
  <c r="H8" i="3" s="1"/>
  <c r="K8" i="3" s="1"/>
  <c r="B5" i="3" a="1"/>
  <c r="B5" i="3" s="1"/>
  <c r="B4" i="3" a="1"/>
  <c r="B4" i="3" s="1"/>
  <c r="A4" i="3" a="1"/>
  <c r="A4" i="3" s="1"/>
  <c r="A5" i="3" a="1"/>
  <c r="A5" i="3" s="1"/>
  <c r="A6" i="3" a="1"/>
  <c r="A6" i="3" s="1"/>
  <c r="G10" i="3"/>
  <c r="H10" i="3" s="1"/>
  <c r="K10" i="3" s="1"/>
  <c r="G2" i="3" l="1"/>
  <c r="H2" i="3" s="1"/>
  <c r="K2" i="3" s="1"/>
  <c r="G6" i="3"/>
  <c r="H6" i="3" s="1"/>
  <c r="K6" i="3" s="1"/>
  <c r="G5" i="3"/>
  <c r="H5" i="3" s="1"/>
  <c r="K5" i="3" s="1"/>
  <c r="H9" i="3"/>
  <c r="K9" i="3" s="1"/>
  <c r="G4" i="3"/>
  <c r="H4" i="3" s="1"/>
  <c r="K4" i="3" s="1"/>
  <c r="G7" i="3"/>
  <c r="B2" i="2"/>
  <c r="G11" i="3" l="1"/>
  <c r="C3" i="2" s="1"/>
  <c r="E2" i="2"/>
  <c r="B16" i="2"/>
  <c r="H7" i="3"/>
  <c r="K7" i="3" s="1"/>
  <c r="K11" i="3" s="1"/>
  <c r="F2" i="2" l="1"/>
  <c r="C16" i="2" s="1"/>
  <c r="F3" i="2" l="1"/>
  <c r="I2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<sst xmlns="http://schemas.openxmlformats.org/spreadsheetml/2006/main" count="72" uniqueCount="40">
  <si>
    <t>SANZIONE ORDINARIA</t>
  </si>
  <si>
    <t>SANZIONE RIDOTTA</t>
  </si>
  <si>
    <t>INTERESSI</t>
  </si>
  <si>
    <t>CALCOLO INTERESSI</t>
  </si>
  <si>
    <t>GG</t>
  </si>
  <si>
    <t>INTERESSI GIORNALIERI</t>
  </si>
  <si>
    <t>INT TOTALI ANNO</t>
  </si>
  <si>
    <t>GG/365</t>
  </si>
  <si>
    <t>% ANNUA</t>
  </si>
  <si>
    <t>IMPORTO OMESSO</t>
  </si>
  <si>
    <t>TOTALE</t>
  </si>
  <si>
    <t>GG DI RITARDO</t>
  </si>
  <si>
    <t>IMPORTO SANZIONE</t>
  </si>
  <si>
    <t>DATA DOVUTA</t>
  </si>
  <si>
    <t>DATA SALDATA</t>
  </si>
  <si>
    <t>un decimo</t>
  </si>
  <si>
    <t>se avviene entro 30gg dalla scadenza</t>
  </si>
  <si>
    <t>un nono</t>
  </si>
  <si>
    <t>se avviene entro 90gg dal termine di presentazione o della scadenza</t>
  </si>
  <si>
    <t>un  ottavo</t>
  </si>
  <si>
    <t>se avviene entro il termine di presentazione della dichiarazione relativa all'anno in cui è avvenuta la violazione; o 365gg se la dichiarazione non è prevista</t>
  </si>
  <si>
    <t>un settimo</t>
  </si>
  <si>
    <t>se avviene entro il termine di presentazione della dichiarazione relativa all'anno seguente a quello in cui è avvenuta la violazione; o 730gg se la dichiarazione non è prevista</t>
  </si>
  <si>
    <t>un sesto</t>
  </si>
  <si>
    <t>se avviene dopo il termine di presentazione della dichiarazione relativa all'anno seguente a quello della violazione; o più di 730gg se la dichiarazione non è prevista</t>
  </si>
  <si>
    <t xml:space="preserve">un quinto </t>
  </si>
  <si>
    <t>se avviene dopo la constatazione della violazione</t>
  </si>
  <si>
    <t>LA SANZIONE E' RIDOTTA A:</t>
  </si>
  <si>
    <t>INTERESSE MEDIO PER ANNO:</t>
  </si>
  <si>
    <t>ISTRUZIONI:</t>
  </si>
  <si>
    <t>CELLE=</t>
  </si>
  <si>
    <t>PARAMETRI FISSI</t>
  </si>
  <si>
    <t>CELLE IN CUI INSERIRE I DATI</t>
  </si>
  <si>
    <t>CELLE CONTENENTI FUNZIONE</t>
  </si>
  <si>
    <t>RISULTATI OPERAZIONI DA CONTROLLARE</t>
  </si>
  <si>
    <t>TOT GG</t>
  </si>
  <si>
    <t>VERIFICARE CHE CONTENGA "0,00" IN QUANTO CONFERMA IL GIUSTO CALCOLO DEI GIORNI</t>
  </si>
  <si>
    <t>SCHEMA SECONDARIO IN CUI IMMETTERE IL DIVISORE PER SANZIONE RIDOTTA A MANO</t>
  </si>
  <si>
    <t>TOTALE MANUALE</t>
  </si>
  <si>
    <t>Anno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</si>
</sst>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\ _€_-;\-* #,##0.00\ _€_-;_-* &quot;-&quot;??\ _€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4">
    <xf numFmtId="0" fontId="0" fillId="0" borderId="0" xfId="0"/>
    <xf numFmtId="14" fontId="0" fillId="0" borderId="0" xfId="0" applyNumberFormat="1"/>
    <xf numFmtId="43" fontId="0" fillId="0" borderId="0" xfId="1" applyFont="1"/>
    <xf numFmtId="164" fontId="0" fillId="0" borderId="0" xfId="0" applyNumberFormat="1"/>
    <xf numFmtId="0" fontId="0" fillId="0" borderId="0" xfId="0" applyNumberFormat="1"/>
    <xf numFmtId="0" fontId="0" fillId="0" borderId="2" xfId="0" applyBorder="1"/>
    <xf numFmtId="10" fontId="0" fillId="0" borderId="0" xfId="0" applyNumberFormat="1"/>
    <xf numFmtId="9" fontId="0" fillId="0" borderId="0" xfId="0" applyNumberFormat="1"/>
    <xf numFmtId="0" fontId="0" fillId="0" borderId="3" xfId="0" applyBorder="1"/>
    <xf numFmtId="43" fontId="0" fillId="0" borderId="4" xfId="1" applyFont="1" applyBorder="1"/>
    <xf numFmtId="0" fontId="0" fillId="2" borderId="6" xfId="0" applyFill="1" applyBorder="1"/>
    <xf numFmtId="43" fontId="0" fillId="0" borderId="0" xfId="1" applyFont="1" applyBorder="1"/>
    <xf numFmtId="0" fontId="0" fillId="3" borderId="6" xfId="0" applyFill="1" applyBorder="1"/>
    <xf numFmtId="0" fontId="0" fillId="4" borderId="6" xfId="0" applyFill="1" applyBorder="1"/>
    <xf numFmtId="43" fontId="0" fillId="0" borderId="9" xfId="1" applyFont="1" applyBorder="1"/>
    <xf numFmtId="0" fontId="0" fillId="0" borderId="0" xfId="0" applyBorder="1"/>
    <xf numFmtId="14" fontId="0" fillId="0" borderId="0" xfId="0" applyNumberFormat="1" applyBorder="1"/>
    <xf numFmtId="0" fontId="0" fillId="0" borderId="0" xfId="0" applyNumberFormat="1" applyBorder="1"/>
    <xf numFmtId="0" fontId="0" fillId="0" borderId="0" xfId="1" applyNumberFormat="1" applyFont="1" applyBorder="1"/>
    <xf numFmtId="164" fontId="0" fillId="0" borderId="0" xfId="0" applyNumberFormat="1" applyBorder="1"/>
    <xf numFmtId="164" fontId="2" fillId="0" borderId="0" xfId="0" applyNumberFormat="1" applyFont="1" applyBorder="1"/>
    <xf numFmtId="0" fontId="0" fillId="2" borderId="1" xfId="0" applyFill="1" applyBorder="1"/>
    <xf numFmtId="43" fontId="0" fillId="2" borderId="1" xfId="1" applyFont="1" applyFill="1" applyBorder="1"/>
    <xf numFmtId="164" fontId="0" fillId="5" borderId="1" xfId="0" applyNumberFormat="1" applyFill="1" applyBorder="1"/>
    <xf numFmtId="14" fontId="0" fillId="3" borderId="1" xfId="0" applyNumberFormat="1" applyFill="1" applyBorder="1"/>
    <xf numFmtId="164" fontId="0" fillId="10" borderId="1" xfId="0" applyNumberFormat="1" applyFill="1" applyBorder="1"/>
    <xf numFmtId="43" fontId="0" fillId="10" borderId="1" xfId="1" applyFont="1" applyFill="1" applyBorder="1"/>
    <xf numFmtId="0" fontId="0" fillId="10" borderId="1" xfId="0" applyFill="1" applyBorder="1"/>
    <xf numFmtId="0" fontId="0" fillId="3" borderId="1" xfId="0" applyFill="1" applyBorder="1"/>
    <xf numFmtId="2" fontId="0" fillId="10" borderId="1" xfId="0" applyNumberFormat="1" applyFill="1" applyBorder="1"/>
    <xf numFmtId="2" fontId="0" fillId="5" borderId="1" xfId="0" applyNumberFormat="1" applyFill="1" applyBorder="1"/>
    <xf numFmtId="2" fontId="0" fillId="11" borderId="1" xfId="0" applyNumberFormat="1" applyFill="1" applyBorder="1"/>
    <xf numFmtId="2" fontId="0" fillId="11" borderId="0" xfId="0" applyNumberFormat="1" applyFill="1"/>
    <xf numFmtId="0" fontId="0" fillId="0" borderId="4" xfId="0" applyBorder="1"/>
    <xf numFmtId="43" fontId="0" fillId="0" borderId="5" xfId="1" applyFont="1" applyBorder="1"/>
    <xf numFmtId="43" fontId="0" fillId="0" borderId="7" xfId="1" applyFont="1" applyBorder="1"/>
    <xf numFmtId="0" fontId="0" fillId="5" borderId="6" xfId="0" applyFill="1" applyBorder="1"/>
    <xf numFmtId="0" fontId="0" fillId="11" borderId="8" xfId="0" applyFill="1" applyBorder="1"/>
    <xf numFmtId="0" fontId="0" fillId="0" borderId="9" xfId="0" applyBorder="1"/>
    <xf numFmtId="43" fontId="0" fillId="0" borderId="10" xfId="1" applyFont="1" applyBorder="1"/>
    <xf numFmtId="0" fontId="0" fillId="7" borderId="1" xfId="0" applyFill="1" applyBorder="1"/>
    <xf numFmtId="43" fontId="0" fillId="7" borderId="1" xfId="1" applyFont="1" applyFill="1" applyBorder="1"/>
    <xf numFmtId="0" fontId="0" fillId="10" borderId="13" xfId="0" applyFill="1" applyBorder="1"/>
    <xf numFmtId="0" fontId="0" fillId="10" borderId="14" xfId="0" applyFill="1" applyBorder="1"/>
    <xf numFmtId="0" fontId="0" fillId="10" borderId="15" xfId="0" applyFill="1" applyBorder="1"/>
    <xf numFmtId="43" fontId="0" fillId="10" borderId="13" xfId="1" applyFont="1" applyFill="1" applyBorder="1"/>
    <xf numFmtId="43" fontId="0" fillId="10" borderId="14" xfId="1" applyFont="1" applyFill="1" applyBorder="1"/>
    <xf numFmtId="43" fontId="0" fillId="10" borderId="15" xfId="1" applyFont="1" applyFill="1" applyBorder="1"/>
    <xf numFmtId="2" fontId="0" fillId="10" borderId="13" xfId="0" applyNumberFormat="1" applyFill="1" applyBorder="1"/>
    <xf numFmtId="2" fontId="0" fillId="10" borderId="14" xfId="0" applyNumberFormat="1" applyFill="1" applyBorder="1"/>
    <xf numFmtId="2" fontId="0" fillId="10" borderId="15" xfId="0" applyNumberFormat="1" applyFill="1" applyBorder="1"/>
    <xf numFmtId="0" fontId="0" fillId="9" borderId="13" xfId="0" applyFill="1" applyBorder="1"/>
    <xf numFmtId="0" fontId="0" fillId="9" borderId="14" xfId="0" applyFill="1" applyBorder="1"/>
    <xf numFmtId="0" fontId="0" fillId="9" borderId="15" xfId="0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9" borderId="14" xfId="0" applyNumberFormat="1" applyFill="1" applyBorder="1"/>
    <xf numFmtId="0" fontId="0" fillId="9" borderId="15" xfId="0" applyNumberFormat="1" applyFill="1" applyBorder="1"/>
    <xf numFmtId="14" fontId="0" fillId="10" borderId="13" xfId="0" applyNumberFormat="1" applyFill="1" applyBorder="1"/>
    <xf numFmtId="14" fontId="0" fillId="10" borderId="14" xfId="0" applyNumberFormat="1" applyFill="1" applyBorder="1"/>
    <xf numFmtId="14" fontId="0" fillId="10" borderId="15" xfId="0" applyNumberFormat="1" applyFill="1" applyBorder="1"/>
    <xf numFmtId="0" fontId="0" fillId="6" borderId="1" xfId="0" applyFill="1" applyBorder="1"/>
    <xf numFmtId="0" fontId="0" fillId="9" borderId="1" xfId="0" applyFill="1" applyBorder="1"/>
    <xf numFmtId="0" fontId="2" fillId="0" borderId="3" xfId="0" applyFont="1" applyBorder="1" applyAlignment="1">
      <alignment horizontal="center" wrapText="1"/>
    </xf>
    <xf numFmtId="0" fontId="2" fillId="0" borderId="4" xfId="0" applyFont="1" applyBorder="1" applyAlignment="1">
      <alignment horizontal="center" wrapText="1"/>
    </xf>
    <xf numFmtId="0" fontId="2" fillId="0" borderId="5" xfId="0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0" fontId="2" fillId="0" borderId="9" xfId="0" applyFont="1" applyBorder="1" applyAlignment="1">
      <alignment horizontal="center" wrapText="1"/>
    </xf>
    <xf numFmtId="0" fontId="2" fillId="0" borderId="10" xfId="0" applyFont="1" applyBorder="1" applyAlignment="1">
      <alignment horizontal="center" wrapText="1"/>
    </xf>
    <xf numFmtId="164" fontId="0" fillId="10" borderId="6" xfId="0" applyNumberFormat="1" applyFill="1" applyBorder="1" applyAlignment="1">
      <alignment horizontal="center"/>
    </xf>
    <xf numFmtId="164" fontId="0" fillId="10" borderId="7" xfId="0" applyNumberFormat="1" applyFill="1" applyBorder="1" applyAlignment="1">
      <alignment horizontal="center"/>
    </xf>
    <xf numFmtId="164" fontId="0" fillId="10" borderId="8" xfId="0" applyNumberFormat="1" applyFill="1" applyBorder="1" applyAlignment="1">
      <alignment horizontal="center"/>
    </xf>
    <xf numFmtId="164" fontId="0" fillId="10" borderId="10" xfId="0" applyNumberFormat="1" applyFill="1" applyBorder="1" applyAlignment="1">
      <alignment horizontal="center"/>
    </xf>
    <xf numFmtId="2" fontId="0" fillId="11" borderId="11" xfId="0" applyNumberFormat="1" applyFill="1" applyBorder="1" applyAlignment="1">
      <alignment horizontal="center"/>
    </xf>
    <xf numFmtId="2" fontId="0" fillId="11" borderId="12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12" xfId="0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164" fontId="0" fillId="10" borderId="5" xfId="0" applyNumberFormat="1" applyFill="1" applyBorder="1" applyAlignment="1">
      <alignment horizontal="center"/>
    </xf>
    <xf numFmtId="0" fontId="0" fillId="0" borderId="2" xfId="0" applyBorder="1" applyAlignment="1">
      <alignment horizontal="center" vertical="top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center"/>
    </xf>
    <xf numFmtId="43" fontId="0" fillId="0" borderId="0" xfId="0" applyNumberFormat="1"/>
  </cellXfs>
  <cellStyles count="2">
    <cellStyle name="Migliaia" xfId="1" builtinId="3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F2B36-0C9E-46FB-BDA2-2C6977B1DB2D}">
  <sheetPr codeName="Foglio1">
    <pageSetUpPr fitToPage="1"/>
  </sheetPr>
  <dimension ref="A1:K16"/>
  <sheetViews>
    <sheetView workbookViewId="0">
      <selection activeCell="G20" sqref="G20"/>
    </sheetView>
  </sheetViews>
  <sheetFormatPr defaultRowHeight="15" x14ac:dyDescent="0.25"/>
  <cols>
    <col min="1" max="1" width="17.7109375" bestFit="1" customWidth="1"/>
    <col min="2" max="2" width="21" style="2" bestFit="1" customWidth="1"/>
    <col min="3" max="3" width="21" customWidth="1"/>
    <col min="4" max="4" width="19.7109375" customWidth="1"/>
    <col min="5" max="5" width="19.28515625" style="2" bestFit="1" customWidth="1"/>
    <col min="6" max="6" width="10.5703125" bestFit="1" customWidth="1"/>
    <col min="7" max="7" width="14" bestFit="1" customWidth="1"/>
    <col min="8" max="8" width="14.42578125" bestFit="1" customWidth="1"/>
    <col min="9" max="9" width="18.5703125" bestFit="1" customWidth="1"/>
    <col min="10" max="11" width="10.7109375" bestFit="1" customWidth="1"/>
    <col min="12" max="12" width="9.7109375" bestFit="1" customWidth="1"/>
    <col min="13" max="13" width="10.7109375" bestFit="1" customWidth="1"/>
    <col min="14" max="14" width="10.7109375" customWidth="1"/>
    <col min="15" max="15" width="17.7109375" bestFit="1" customWidth="1"/>
    <col min="16" max="16" width="21.85546875" bestFit="1" customWidth="1"/>
    <col min="17" max="17" width="16.7109375" bestFit="1" customWidth="1"/>
  </cols>
  <sheetData>
    <row r="1" spans="1:11" ht="15.75" thickBot="1" x14ac:dyDescent="0.3">
      <c r="A1" s="21" t="s">
        <v>9</v>
      </c>
      <c r="B1" s="22" t="s">
        <v>0</v>
      </c>
      <c r="C1" s="21" t="s">
        <v>11</v>
      </c>
      <c r="D1" s="21" t="s">
        <v>1</v>
      </c>
      <c r="E1" s="22" t="s">
        <v>12</v>
      </c>
      <c r="F1" s="21" t="s">
        <v>2</v>
      </c>
      <c r="G1" s="21" t="s">
        <v>13</v>
      </c>
      <c r="H1" s="21" t="s">
        <v>14</v>
      </c>
      <c r="I1" s="21" t="s">
        <v>10</v>
      </c>
    </row>
    <row r="2" spans="1:11" ht="15.75" thickBot="1" x14ac:dyDescent="0.3">
      <c r="A2" s="28">
        <v>523.09</v>
      </c>
      <c r="B2" s="26">
        <f>+A2*30%</f>
        <v>156.92699999999999</v>
      </c>
      <c r="C2" s="29">
        <f>+H2-G2+0</f>
        <v>1808</v>
      </c>
      <c r="D2" s="27">
        <f>+IF(C2=0,"NO",IF(C2&lt;=30,10,IF(C2&lt;=90,9,IF(C2&lt;=365,8,IF(C2&lt;=730,7,IF(C2&gt;730,6))))))</f>
        <v>6</v>
      </c>
      <c r="E2" s="26">
        <f>+B2/D2</f>
        <v>26.154499999999999</v>
      </c>
      <c r="F2" s="25">
        <f>+'CALCOLO INTERESSI'!K11</f>
        <v>8.1688027397260292</v>
      </c>
      <c r="G2" s="24">
        <v>42278</v>
      </c>
      <c r="H2" s="24">
        <v>44086</v>
      </c>
      <c r="I2" s="23">
        <f>+A2+E2+F2</f>
        <v>557.41330273972608</v>
      </c>
      <c r="K2" s="1"/>
    </row>
    <row r="3" spans="1:11" x14ac:dyDescent="0.25">
      <c r="C3" s="32">
        <f>+C2-'CALCOLO INTERESSI'!G11</f>
        <v>0</v>
      </c>
      <c r="F3" s="32">
        <f>+F2-'CALCOLO INTERESSI'!K11</f>
        <v>0</v>
      </c>
      <c r="G3" s="1"/>
      <c r="H3" s="1"/>
      <c r="I3" s="3"/>
    </row>
    <row r="4" spans="1:11" x14ac:dyDescent="0.25">
      <c r="C4" s="4"/>
      <c r="F4" s="3"/>
      <c r="G4" s="1"/>
      <c r="H4" s="1"/>
      <c r="I4" s="3"/>
    </row>
    <row r="5" spans="1:11" ht="15.75" thickBot="1" x14ac:dyDescent="0.3">
      <c r="F5" s="3"/>
    </row>
    <row r="6" spans="1:11" x14ac:dyDescent="0.25">
      <c r="A6" s="8" t="s">
        <v>29</v>
      </c>
      <c r="B6" s="9"/>
      <c r="C6" s="33"/>
      <c r="D6" s="33"/>
      <c r="E6" s="34"/>
      <c r="F6" s="3"/>
    </row>
    <row r="7" spans="1:11" x14ac:dyDescent="0.25">
      <c r="A7" s="10" t="s">
        <v>30</v>
      </c>
      <c r="B7" s="11" t="s">
        <v>31</v>
      </c>
      <c r="C7" s="15"/>
      <c r="D7" s="15"/>
      <c r="E7" s="35"/>
      <c r="F7" s="3"/>
    </row>
    <row r="8" spans="1:11" x14ac:dyDescent="0.25">
      <c r="A8" s="12" t="s">
        <v>30</v>
      </c>
      <c r="B8" s="11" t="s">
        <v>32</v>
      </c>
      <c r="C8" s="15"/>
      <c r="D8" s="15"/>
      <c r="E8" s="35"/>
      <c r="F8" s="3"/>
    </row>
    <row r="9" spans="1:11" x14ac:dyDescent="0.25">
      <c r="A9" s="13" t="s">
        <v>30</v>
      </c>
      <c r="B9" s="11" t="s">
        <v>33</v>
      </c>
      <c r="C9" s="15"/>
      <c r="D9" s="15"/>
      <c r="E9" s="35"/>
      <c r="F9" s="3"/>
    </row>
    <row r="10" spans="1:11" x14ac:dyDescent="0.25">
      <c r="A10" s="36" t="s">
        <v>30</v>
      </c>
      <c r="B10" s="11" t="s">
        <v>34</v>
      </c>
      <c r="C10" s="15"/>
      <c r="D10" s="15"/>
      <c r="E10" s="35"/>
      <c r="F10" s="3"/>
    </row>
    <row r="11" spans="1:11" ht="15.75" thickBot="1" x14ac:dyDescent="0.3">
      <c r="A11" s="37" t="s">
        <v>30</v>
      </c>
      <c r="B11" s="14" t="s">
        <v>36</v>
      </c>
      <c r="C11" s="38"/>
      <c r="D11" s="38"/>
      <c r="E11" s="39"/>
      <c r="F11" s="3"/>
    </row>
    <row r="12" spans="1:11" ht="15.75" thickBot="1" x14ac:dyDescent="0.3"/>
    <row r="13" spans="1:11" x14ac:dyDescent="0.25">
      <c r="A13" s="64" t="s">
        <v>37</v>
      </c>
      <c r="B13" s="65"/>
      <c r="C13" s="66"/>
    </row>
    <row r="14" spans="1:11" ht="15.75" thickBot="1" x14ac:dyDescent="0.3">
      <c r="A14" s="67"/>
      <c r="B14" s="68"/>
      <c r="C14" s="69"/>
    </row>
    <row r="15" spans="1:11" ht="15.75" thickBot="1" x14ac:dyDescent="0.3">
      <c r="A15" s="40" t="s">
        <v>1</v>
      </c>
      <c r="B15" s="41" t="s">
        <v>12</v>
      </c>
      <c r="C15" s="40" t="s">
        <v>38</v>
      </c>
    </row>
    <row r="16" spans="1:11" ht="15.75" thickBot="1" x14ac:dyDescent="0.3">
      <c r="A16" s="28">
        <v>1</v>
      </c>
      <c r="B16" s="26">
        <f>+B2/A16</f>
        <v>156.92699999999999</v>
      </c>
      <c r="C16" s="30">
        <f>+A2+B16+F2</f>
        <v>688.18580273972611</v>
      </c>
      <c r="F16" s="83"/>
      <c r="G16" s="83"/>
    </row>
  </sheetData>
  <sortState xmlns:xlrd2="http://schemas.microsoft.com/office/spreadsheetml/2017/richdata2" ref="K2:L8">
    <sortCondition ref="K2:K8"/>
  </sortState>
  <mergeCells count="1">
    <mergeCell ref="A13:C14"/>
  </mergeCells>
  <pageMargins left="0.7" right="0.7" top="0.75" bottom="0.75" header="0.3" footer="0.3"/>
  <pageSetup paperSize="9" scale="95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F8787-A30F-4F3A-8763-28A2C8DDA98B}">
  <sheetPr codeName="Foglio2"/>
  <dimension ref="A1:S49"/>
  <sheetViews>
    <sheetView workbookViewId="0">
      <selection activeCell="K5" sqref="K5:L5"/>
    </sheetView>
  </sheetViews>
  <sheetFormatPr defaultRowHeight="15" x14ac:dyDescent="0.25"/>
  <cols>
    <col min="1" max="1" width="18.5703125" bestFit="1" customWidth="1"/>
    <col min="2" max="2" width="10.7109375" bestFit="1" customWidth="1"/>
    <col min="3" max="3" width="5" bestFit="1" customWidth="1"/>
    <col min="4" max="4" width="3.85546875" bestFit="1" customWidth="1"/>
    <col min="5" max="5" width="3.5703125" bestFit="1" customWidth="1"/>
    <col min="6" max="6" width="9.7109375" bestFit="1" customWidth="1"/>
    <col min="7" max="7" width="7.5703125" bestFit="1" customWidth="1"/>
    <col min="8" max="8" width="7.42578125" bestFit="1" customWidth="1"/>
    <col min="9" max="9" width="17.7109375" bestFit="1" customWidth="1"/>
    <col min="10" max="10" width="21.85546875" bestFit="1" customWidth="1"/>
    <col min="19" max="19" width="10.7109375" bestFit="1" customWidth="1"/>
  </cols>
  <sheetData>
    <row r="1" spans="1:19" ht="15.75" thickBot="1" x14ac:dyDescent="0.3">
      <c r="A1" s="40" t="s">
        <v>3</v>
      </c>
      <c r="B1" s="62">
        <f>+YEAR('CALCOLO SANZIONE'!G2)</f>
        <v>2015</v>
      </c>
      <c r="C1" s="62">
        <f>+YEAR('CALCOLO SANZIONE'!H2)</f>
        <v>2020</v>
      </c>
      <c r="F1" s="63" t="s">
        <v>8</v>
      </c>
      <c r="G1" s="63" t="s">
        <v>4</v>
      </c>
      <c r="H1" s="63" t="s">
        <v>7</v>
      </c>
      <c r="I1" s="63" t="s">
        <v>9</v>
      </c>
      <c r="J1" s="63" t="s">
        <v>5</v>
      </c>
      <c r="K1" s="76" t="s">
        <v>6</v>
      </c>
      <c r="L1" s="77"/>
    </row>
    <row r="2" spans="1:19" x14ac:dyDescent="0.25">
      <c r="A2" s="59" t="e" cm="1">
        <f t="array" ref="A2">+_xlfn.IFS(D2="OK",'CALCOLO SANZIONE'!$G$2,D1="SI",+DATE(2012,1,1),D1="OK",+DATE(2012,1,1))</f>
        <v>#N/A</v>
      </c>
      <c r="B2" s="59" cm="1">
        <f t="array" ref="B2">+_xlfn.IFS(E2="OK",'CALCOLO SANZIONE'!$H$2,E3="SI",+DATE(2012,12,31),E3="OK",+DATE(2012,12,31))</f>
        <v>41274</v>
      </c>
      <c r="C2" s="51">
        <v>2012</v>
      </c>
      <c r="D2" s="54" t="str" cm="1">
        <f t="array" ref="D2">+_xlfn.IFS($B$1&gt;C2,"NO",$B$1=C2,"OK",$B$1&lt;C2,"SI")</f>
        <v>NO</v>
      </c>
      <c r="E2" s="54" t="str" cm="1">
        <f t="array" ref="E2">+_xlfn.IFS($C$1&lt;C2,"NO",$C$1=C2,"OK",$C$1&gt;C2,"SI")</f>
        <v>SI</v>
      </c>
      <c r="F2" s="51">
        <v>2.5</v>
      </c>
      <c r="G2" s="48" t="e">
        <f>+B2-A2+1</f>
        <v>#N/A</v>
      </c>
      <c r="H2" s="45" t="e">
        <f t="shared" ref="H2:H10" si="0">+G2/365</f>
        <v>#N/A</v>
      </c>
      <c r="I2" s="42">
        <f>+'CALCOLO SANZIONE'!$A$2</f>
        <v>523.09</v>
      </c>
      <c r="J2" s="42">
        <f t="shared" ref="J2:J10" si="1">+I2*F2/100</f>
        <v>13.077250000000001</v>
      </c>
      <c r="K2" s="78" t="e">
        <f t="shared" ref="K2:K10" si="2">+J2*H2</f>
        <v>#N/A</v>
      </c>
      <c r="L2" s="79"/>
    </row>
    <row r="3" spans="1:19" x14ac:dyDescent="0.25">
      <c r="A3" s="60" t="e" cm="1">
        <f t="array" ref="A3">+_xlfn.IFS(D3="OK",'CALCOLO SANZIONE'!$G$2,D2="SI",+DATE(2013,1,1),D2="OK",+DATE(2013,1,1))</f>
        <v>#N/A</v>
      </c>
      <c r="B3" s="60" cm="1">
        <f t="array" ref="B3">+_xlfn.IFS(E3="OK",'CALCOLO SANZIONE'!$H$2,E4="SI",+DATE(2013,12,31),E4="OK",+DATE(2013,12,31))</f>
        <v>41639</v>
      </c>
      <c r="C3" s="52">
        <v>2013</v>
      </c>
      <c r="D3" s="55" t="str" cm="1">
        <f t="array" ref="D3">+_xlfn.IFS($B$1&gt;C3,"NO",$B$1=C3,"OK",$B$1&lt;C3,"SI")</f>
        <v>NO</v>
      </c>
      <c r="E3" s="55" t="str" cm="1">
        <f t="array" ref="E3">+_xlfn.IFS($C$1&lt;C3,"NO",$C$1=C3,"OK",$C$1&gt;C3,"SI")</f>
        <v>SI</v>
      </c>
      <c r="F3" s="52">
        <v>2.5</v>
      </c>
      <c r="G3" s="49" t="e">
        <f t="shared" ref="G3:G10" si="3">+B3-A3+1</f>
        <v>#N/A</v>
      </c>
      <c r="H3" s="46" t="e">
        <f t="shared" si="0"/>
        <v>#N/A</v>
      </c>
      <c r="I3" s="43">
        <f>+'CALCOLO SANZIONE'!$A$2</f>
        <v>523.09</v>
      </c>
      <c r="J3" s="43">
        <f t="shared" si="1"/>
        <v>13.077250000000001</v>
      </c>
      <c r="K3" s="70" t="e">
        <f t="shared" si="2"/>
        <v>#N/A</v>
      </c>
      <c r="L3" s="71"/>
    </row>
    <row r="4" spans="1:19" x14ac:dyDescent="0.25">
      <c r="A4" s="60" t="e" cm="1">
        <f t="array" ref="A4">+_xlfn.IFS(D4="OK",'CALCOLO SANZIONE'!$G$2,D3="SI",+DATE(2014,1,1),D3="OK",+DATE(2014,1,1))</f>
        <v>#N/A</v>
      </c>
      <c r="B4" s="60" cm="1">
        <f t="array" ref="B4">+_xlfn.IFS(E4="OK",'CALCOLO SANZIONE'!$H$2,E5="SI",+DATE(2014,12,31),E5="OK",+DATE(2014,12,31))</f>
        <v>42004</v>
      </c>
      <c r="C4" s="57">
        <v>2014</v>
      </c>
      <c r="D4" s="55" t="str" cm="1">
        <f t="array" ref="D4">+_xlfn.IFS($B$1&gt;C4,"NO",$B$1=C4,"OK",$B$1&lt;C4,"SI")</f>
        <v>NO</v>
      </c>
      <c r="E4" s="55" t="str" cm="1">
        <f t="array" ref="E4">+_xlfn.IFS($C$1&lt;C4,"NO",$C$1=C4,"OK",$C$1&gt;C4,"SI")</f>
        <v>SI</v>
      </c>
      <c r="F4" s="52">
        <v>1</v>
      </c>
      <c r="G4" s="49" t="e">
        <f t="shared" si="3"/>
        <v>#N/A</v>
      </c>
      <c r="H4" s="46" t="e">
        <f t="shared" si="0"/>
        <v>#N/A</v>
      </c>
      <c r="I4" s="43">
        <f>+'CALCOLO SANZIONE'!$A$2</f>
        <v>523.09</v>
      </c>
      <c r="J4" s="43">
        <f t="shared" si="1"/>
        <v>5.2309000000000001</v>
      </c>
      <c r="K4" s="70" t="e">
        <f t="shared" si="2"/>
        <v>#N/A</v>
      </c>
      <c r="L4" s="71"/>
      <c r="S4" s="1"/>
    </row>
    <row r="5" spans="1:19" x14ac:dyDescent="0.25">
      <c r="A5" s="60" cm="1">
        <f t="array" ref="A5">+_xlfn.IFS(D5="OK",'CALCOLO SANZIONE'!$G$2,D4="SI",+DATE(2015,1,1),D4="OK",+DATE(2015,1,1))</f>
        <v>42278</v>
      </c>
      <c r="B5" s="60" cm="1">
        <f t="array" ref="B5">+_xlfn.IFS(E5="OK",'CALCOLO SANZIONE'!$H$2,E6="SI",+DATE(2015,12,31),E6="OK",+DATE(2015,12,31))</f>
        <v>42369</v>
      </c>
      <c r="C5" s="57">
        <v>2015</v>
      </c>
      <c r="D5" s="55" t="str" cm="1">
        <f t="array" ref="D5">+_xlfn.IFS($B$1&gt;C5,"NO",$B$1=C5,"OK",$B$1&lt;C5,"SI")</f>
        <v>OK</v>
      </c>
      <c r="E5" s="55" t="str" cm="1">
        <f t="array" ref="E5">+_xlfn.IFS($C$1&lt;C5,"NO",$C$1=C5,"OK",$C$1&gt;C5,"SI")</f>
        <v>SI</v>
      </c>
      <c r="F5" s="52">
        <v>0.5</v>
      </c>
      <c r="G5" s="49">
        <f t="shared" si="3"/>
        <v>92</v>
      </c>
      <c r="H5" s="46">
        <f t="shared" si="0"/>
        <v>0.25205479452054796</v>
      </c>
      <c r="I5" s="43">
        <f>+'CALCOLO SANZIONE'!$A$2</f>
        <v>523.09</v>
      </c>
      <c r="J5" s="43">
        <f t="shared" si="1"/>
        <v>2.6154500000000001</v>
      </c>
      <c r="K5" s="70">
        <f t="shared" si="2"/>
        <v>0.65923671232876724</v>
      </c>
      <c r="L5" s="71"/>
      <c r="S5" s="1"/>
    </row>
    <row r="6" spans="1:19" x14ac:dyDescent="0.25">
      <c r="A6" s="60" cm="1">
        <f t="array" ref="A6">+_xlfn.IFS(D6="OK",'CALCOLO SANZIONE'!$G$2,D5="SI",+DATE(2016,1,1),D5="OK",+DATE(2016,1,1))</f>
        <v>42370</v>
      </c>
      <c r="B6" s="60" cm="1">
        <f t="array" ref="B6">+_xlfn.IFS(E6="OK",'CALCOLO SANZIONE'!$H$2,E7="SI",+DATE(2016,12,31),E7="OK",+DATE(2016,12,31))</f>
        <v>42735</v>
      </c>
      <c r="C6" s="57">
        <v>2016</v>
      </c>
      <c r="D6" s="55" t="str" cm="1">
        <f t="array" ref="D6">+_xlfn.IFS($B$1&gt;C6,"NO",$B$1=C6,"OK",$B$1&lt;C6,"SI")</f>
        <v>SI</v>
      </c>
      <c r="E6" s="55" t="str" cm="1">
        <f t="array" ref="E6">+_xlfn.IFS($C$1&lt;C6,"NO",$C$1=C6,"OK",$C$1&gt;C6,"SI")</f>
        <v>SI</v>
      </c>
      <c r="F6" s="52">
        <v>0.2</v>
      </c>
      <c r="G6" s="49">
        <f t="shared" si="3"/>
        <v>366</v>
      </c>
      <c r="H6" s="46">
        <f t="shared" si="0"/>
        <v>1.0027397260273974</v>
      </c>
      <c r="I6" s="43">
        <f>+'CALCOLO SANZIONE'!$A$2</f>
        <v>523.09</v>
      </c>
      <c r="J6" s="43">
        <f t="shared" si="1"/>
        <v>1.0461800000000001</v>
      </c>
      <c r="K6" s="70">
        <f t="shared" si="2"/>
        <v>1.0490462465753427</v>
      </c>
      <c r="L6" s="71"/>
      <c r="S6" s="1"/>
    </row>
    <row r="7" spans="1:19" x14ac:dyDescent="0.25">
      <c r="A7" s="60" cm="1">
        <f t="array" ref="A7">+_xlfn.IFS(D7="OK",'CALCOLO SANZIONE'!$G$2,D6="SI",+DATE(2017,1,1),D6="OK",+DATE(2017,1,1))</f>
        <v>42736</v>
      </c>
      <c r="B7" s="60" cm="1">
        <f t="array" ref="B7">+_xlfn.IFS(E7="OK",'CALCOLO SANZIONE'!$H$2,E8="SI",+DATE(2017,12,31),E8="OK",+DATE(2017,12,31))</f>
        <v>43100</v>
      </c>
      <c r="C7" s="57">
        <v>2017</v>
      </c>
      <c r="D7" s="55" t="str" cm="1">
        <f t="array" ref="D7">+_xlfn.IFS($B$1&gt;C7,"NO",$B$1=C7,"OK",$B$1&lt;C7,"SI")</f>
        <v>SI</v>
      </c>
      <c r="E7" s="55" t="str" cm="1">
        <f t="array" ref="E7">+_xlfn.IFS($C$1&lt;C7,"NO",$C$1=C7,"OK",$C$1&gt;C7,"SI")</f>
        <v>SI</v>
      </c>
      <c r="F7" s="52">
        <v>0.1</v>
      </c>
      <c r="G7" s="49">
        <f t="shared" si="3"/>
        <v>365</v>
      </c>
      <c r="H7" s="46">
        <f t="shared" si="0"/>
        <v>1</v>
      </c>
      <c r="I7" s="43">
        <f>+'CALCOLO SANZIONE'!$A$2</f>
        <v>523.09</v>
      </c>
      <c r="J7" s="43">
        <f t="shared" si="1"/>
        <v>0.52309000000000005</v>
      </c>
      <c r="K7" s="70">
        <f t="shared" si="2"/>
        <v>0.52309000000000005</v>
      </c>
      <c r="L7" s="71"/>
      <c r="S7" s="1"/>
    </row>
    <row r="8" spans="1:19" x14ac:dyDescent="0.25">
      <c r="A8" s="60" cm="1">
        <f t="array" ref="A8">+_xlfn.IFS(D8="OK",'CALCOLO SANZIONE'!$G$2,D7="SI",+DATE(2018,1,1),D7="OK",+DATE(2018,1,1))</f>
        <v>43101</v>
      </c>
      <c r="B8" s="60" cm="1">
        <f t="array" ref="B8">+_xlfn.IFS(E8="OK",'CALCOLO SANZIONE'!$H$2,E9="SI",+DATE(2018,12,31),E9="OK",+DATE(2018,12,31))</f>
        <v>43465</v>
      </c>
      <c r="C8" s="57">
        <v>2018</v>
      </c>
      <c r="D8" s="55" t="str" cm="1">
        <f t="array" ref="D8">+_xlfn.IFS($B$1&gt;C8,"NO",$B$1=C8,"OK",$B$1&lt;C8,"SI")</f>
        <v>SI</v>
      </c>
      <c r="E8" s="55" t="str" cm="1">
        <f t="array" ref="E8">+_xlfn.IFS($C$1&lt;C8,"NO",$C$1=C8,"OK",$C$1&gt;C8,"SI")</f>
        <v>SI</v>
      </c>
      <c r="F8" s="52">
        <v>0.3</v>
      </c>
      <c r="G8" s="49">
        <f t="shared" si="3"/>
        <v>365</v>
      </c>
      <c r="H8" s="46">
        <f t="shared" si="0"/>
        <v>1</v>
      </c>
      <c r="I8" s="43">
        <f>+'CALCOLO SANZIONE'!$A$2</f>
        <v>523.09</v>
      </c>
      <c r="J8" s="43">
        <f t="shared" si="1"/>
        <v>1.5692699999999999</v>
      </c>
      <c r="K8" s="70">
        <f t="shared" si="2"/>
        <v>1.5692699999999999</v>
      </c>
      <c r="L8" s="71"/>
      <c r="S8" s="1"/>
    </row>
    <row r="9" spans="1:19" x14ac:dyDescent="0.25">
      <c r="A9" s="60" cm="1">
        <f t="array" ref="A9">+_xlfn.IFS(D9="OK",'CALCOLO SANZIONE'!$G$2,D8="SI",+DATE(2019,1,1),D8="OK",+DATE(2019,1,1))</f>
        <v>43466</v>
      </c>
      <c r="B9" s="60" cm="1">
        <f t="array" ref="B9">+_xlfn.IFS(E9="OK",'CALCOLO SANZIONE'!$H$2,E10="SI",+DATE(2019,12,31),E10="OK",+DATE(2019,12,31))</f>
        <v>43830</v>
      </c>
      <c r="C9" s="57">
        <v>2019</v>
      </c>
      <c r="D9" s="55" t="str" cm="1">
        <f t="array" ref="D9">+_xlfn.IFS($B$1&gt;C9,"NO",$B$1=C9,"OK",$B$1&lt;C9,"SI")</f>
        <v>SI</v>
      </c>
      <c r="E9" s="55" t="str" cm="1">
        <f t="array" ref="E9">+_xlfn.IFS($C$1&lt;C9,"NO",$C$1=C9,"OK",$C$1&gt;C9,"SI")</f>
        <v>SI</v>
      </c>
      <c r="F9" s="52">
        <v>0.8</v>
      </c>
      <c r="G9" s="49">
        <f t="shared" si="3"/>
        <v>365</v>
      </c>
      <c r="H9" s="46">
        <f t="shared" si="0"/>
        <v>1</v>
      </c>
      <c r="I9" s="43">
        <f>+'CALCOLO SANZIONE'!$A$2</f>
        <v>523.09</v>
      </c>
      <c r="J9" s="43">
        <f t="shared" si="1"/>
        <v>4.1847200000000004</v>
      </c>
      <c r="K9" s="70">
        <f t="shared" si="2"/>
        <v>4.1847200000000004</v>
      </c>
      <c r="L9" s="71"/>
      <c r="S9" s="1"/>
    </row>
    <row r="10" spans="1:19" ht="15.75" thickBot="1" x14ac:dyDescent="0.3">
      <c r="A10" s="61" cm="1">
        <f t="array" ref="A10">+_xlfn.IFS(D10="OK",'CALCOLO SANZIONE'!$G$2,D9="SI",+DATE(2020,1,1),D9="OK",+DATE(2020,1,1))</f>
        <v>43831</v>
      </c>
      <c r="B10" s="61" cm="1">
        <f t="array" ref="B10">+_xlfn.IFS(E10="OK",'CALCOLO SANZIONE'!$H$2,E11="SI",+DATE(2020,12,31))</f>
        <v>44086</v>
      </c>
      <c r="C10" s="58">
        <v>2020</v>
      </c>
      <c r="D10" s="56" t="str" cm="1">
        <f t="array" ref="D10">+_xlfn.IFS($B$1&gt;C10,"NO",$B$1=C10,"OK",$B$1&lt;C10,"SI")</f>
        <v>SI</v>
      </c>
      <c r="E10" s="56" t="str" cm="1">
        <f t="array" ref="E10">+_xlfn.IFS($C$1&lt;C10,"NO",$C$1=C10,"OK",$C$1&gt;C10,"SI")</f>
        <v>OK</v>
      </c>
      <c r="F10" s="53">
        <v>0.05</v>
      </c>
      <c r="G10" s="50">
        <f t="shared" si="3"/>
        <v>256</v>
      </c>
      <c r="H10" s="47">
        <f t="shared" si="0"/>
        <v>0.70136986301369864</v>
      </c>
      <c r="I10" s="44">
        <f>+'CALCOLO SANZIONE'!$A$2</f>
        <v>523.09</v>
      </c>
      <c r="J10" s="44">
        <f t="shared" si="1"/>
        <v>0.26154500000000003</v>
      </c>
      <c r="K10" s="72">
        <f t="shared" si="2"/>
        <v>0.18343978082191784</v>
      </c>
      <c r="L10" s="73"/>
      <c r="S10" s="1"/>
    </row>
    <row r="11" spans="1:19" ht="15.75" thickBot="1" x14ac:dyDescent="0.3">
      <c r="G11" s="31">
        <f>+SUMIFS(G2:G10,$D$2:$D$10,"SI",$E$2:$E$10,"SI")+SUMIFS(G2:G10,$D$2:$D$10,"OK",$E$2:$E$10,"SI")+SUMIFS(G2:G10,$D$2:$D$10,"SI",$E$2:$E$10,"OK")+SUMIFS(G2:G10,$D$2:$D$10,"OK",$E$2:$E$10,"OK")-1</f>
        <v>1808</v>
      </c>
      <c r="H11" s="2"/>
      <c r="K11" s="74">
        <f>+SUMIFS(K2:K10,$D$2:$D$10,"SI",$E$2:$E$10,"SI")+SUMIFS(K2:K10,$D$2:$D$10,"OK",$E$2:$E$10,"SI")+SUMIFS(K2:K10,$D$2:$D$10,"SI",$E$2:$E$10,"OK")+SUMIFS(K2:K10,$D$2:$D$10,"OK",$E$2:$E$10,"OK")</f>
        <v>8.1688027397260292</v>
      </c>
      <c r="L11" s="75"/>
      <c r="S11" s="1"/>
    </row>
    <row r="12" spans="1:19" x14ac:dyDescent="0.25">
      <c r="G12" t="s">
        <v>35</v>
      </c>
      <c r="S12" s="1"/>
    </row>
    <row r="13" spans="1:19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S13" s="1"/>
    </row>
    <row r="14" spans="1:19" x14ac:dyDescent="0.25">
      <c r="A14" s="16"/>
      <c r="B14" s="16"/>
      <c r="C14" s="17"/>
      <c r="D14" s="17"/>
      <c r="E14" s="17"/>
      <c r="F14" s="15"/>
      <c r="G14" s="18"/>
      <c r="H14" s="11"/>
      <c r="I14" s="15"/>
      <c r="J14" s="15"/>
      <c r="K14" s="19"/>
      <c r="L14" s="15"/>
      <c r="S14" s="1"/>
    </row>
    <row r="15" spans="1:19" x14ac:dyDescent="0.25">
      <c r="A15" s="16"/>
      <c r="B15" s="16"/>
      <c r="C15" s="17"/>
      <c r="D15" s="17"/>
      <c r="E15" s="17"/>
      <c r="F15" s="15"/>
      <c r="G15" s="18"/>
      <c r="H15" s="11"/>
      <c r="I15" s="15"/>
      <c r="J15" s="15"/>
      <c r="K15" s="19"/>
      <c r="L15" s="15"/>
      <c r="S15" s="1"/>
    </row>
    <row r="16" spans="1:19" x14ac:dyDescent="0.25">
      <c r="A16" s="16"/>
      <c r="B16" s="16"/>
      <c r="C16" s="17"/>
      <c r="D16" s="17"/>
      <c r="E16" s="17"/>
      <c r="F16" s="15"/>
      <c r="G16" s="18"/>
      <c r="H16" s="11"/>
      <c r="I16" s="15"/>
      <c r="J16" s="15"/>
      <c r="K16" s="19"/>
      <c r="L16" s="15"/>
      <c r="S16" s="1"/>
    </row>
    <row r="17" spans="1:19" x14ac:dyDescent="0.25">
      <c r="A17" s="16"/>
      <c r="B17" s="16"/>
      <c r="C17" s="17"/>
      <c r="D17" s="17"/>
      <c r="E17" s="17"/>
      <c r="F17" s="15"/>
      <c r="G17" s="17"/>
      <c r="H17" s="11"/>
      <c r="I17" s="15"/>
      <c r="J17" s="15"/>
      <c r="K17" s="19"/>
      <c r="L17" s="15"/>
      <c r="S17" s="1"/>
    </row>
    <row r="18" spans="1:19" x14ac:dyDescent="0.25">
      <c r="A18" s="16"/>
      <c r="B18" s="16"/>
      <c r="C18" s="17"/>
      <c r="D18" s="17"/>
      <c r="E18" s="17"/>
      <c r="F18" s="15"/>
      <c r="G18" s="17"/>
      <c r="H18" s="11"/>
      <c r="I18" s="15"/>
      <c r="J18" s="15"/>
      <c r="K18" s="19"/>
      <c r="L18" s="15"/>
      <c r="S18" s="1"/>
    </row>
    <row r="19" spans="1:19" x14ac:dyDescent="0.25">
      <c r="A19" s="16"/>
      <c r="B19" s="16"/>
      <c r="C19" s="17"/>
      <c r="D19" s="17"/>
      <c r="E19" s="17"/>
      <c r="F19" s="15"/>
      <c r="G19" s="17"/>
      <c r="H19" s="11"/>
      <c r="I19" s="15"/>
      <c r="J19" s="15"/>
      <c r="K19" s="19"/>
      <c r="L19" s="15"/>
      <c r="S19" s="1"/>
    </row>
    <row r="20" spans="1:19" x14ac:dyDescent="0.25">
      <c r="A20" s="16"/>
      <c r="B20" s="16"/>
      <c r="C20" s="17"/>
      <c r="D20" s="17"/>
      <c r="E20" s="17"/>
      <c r="F20" s="15"/>
      <c r="G20" s="17"/>
      <c r="H20" s="11"/>
      <c r="I20" s="15"/>
      <c r="J20" s="15"/>
      <c r="K20" s="19"/>
      <c r="L20" s="15"/>
      <c r="S20" s="1"/>
    </row>
    <row r="21" spans="1:19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20"/>
      <c r="L21" s="15"/>
      <c r="S21" s="1"/>
    </row>
    <row r="22" spans="1:19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S22" s="1"/>
    </row>
    <row r="23" spans="1:19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S23" s="1"/>
    </row>
    <row r="24" spans="1:19" x14ac:dyDescent="0.25">
      <c r="A24" s="16"/>
      <c r="B24" s="16"/>
      <c r="C24" s="17"/>
      <c r="D24" s="17"/>
      <c r="E24" s="17"/>
      <c r="F24" s="15"/>
      <c r="G24" s="18"/>
      <c r="H24" s="11"/>
      <c r="I24" s="15"/>
      <c r="J24" s="15"/>
      <c r="K24" s="19"/>
      <c r="L24" s="15"/>
      <c r="S24" s="1"/>
    </row>
    <row r="25" spans="1:19" x14ac:dyDescent="0.25">
      <c r="A25" s="16"/>
      <c r="B25" s="16"/>
      <c r="C25" s="17"/>
      <c r="D25" s="17"/>
      <c r="E25" s="17"/>
      <c r="F25" s="15"/>
      <c r="G25" s="18"/>
      <c r="H25" s="11"/>
      <c r="I25" s="15"/>
      <c r="J25" s="15"/>
      <c r="K25" s="19"/>
      <c r="L25" s="15"/>
      <c r="S25" s="1"/>
    </row>
    <row r="26" spans="1:19" x14ac:dyDescent="0.25">
      <c r="A26" s="16"/>
      <c r="B26" s="16"/>
      <c r="C26" s="17"/>
      <c r="D26" s="17"/>
      <c r="E26" s="17"/>
      <c r="F26" s="15"/>
      <c r="G26" s="18"/>
      <c r="H26" s="11"/>
      <c r="I26" s="15"/>
      <c r="J26" s="15"/>
      <c r="K26" s="19"/>
      <c r="L26" s="15"/>
      <c r="S26" s="1"/>
    </row>
    <row r="27" spans="1:19" x14ac:dyDescent="0.25">
      <c r="A27" s="16"/>
      <c r="B27" s="16"/>
      <c r="C27" s="17"/>
      <c r="D27" s="17"/>
      <c r="E27" s="17"/>
      <c r="F27" s="15"/>
      <c r="G27" s="17"/>
      <c r="H27" s="11"/>
      <c r="I27" s="15"/>
      <c r="J27" s="15"/>
      <c r="K27" s="19"/>
      <c r="L27" s="15"/>
      <c r="S27" s="1"/>
    </row>
    <row r="28" spans="1:19" x14ac:dyDescent="0.25">
      <c r="A28" s="16"/>
      <c r="B28" s="16"/>
      <c r="C28" s="17"/>
      <c r="D28" s="17"/>
      <c r="E28" s="17"/>
      <c r="F28" s="15"/>
      <c r="G28" s="17"/>
      <c r="H28" s="11"/>
      <c r="I28" s="15"/>
      <c r="J28" s="15"/>
      <c r="K28" s="19"/>
      <c r="L28" s="15"/>
      <c r="S28" s="1"/>
    </row>
    <row r="29" spans="1:19" x14ac:dyDescent="0.25">
      <c r="A29" s="16"/>
      <c r="B29" s="16"/>
      <c r="C29" s="17"/>
      <c r="D29" s="17"/>
      <c r="E29" s="17"/>
      <c r="F29" s="15"/>
      <c r="G29" s="17"/>
      <c r="H29" s="11"/>
      <c r="I29" s="15"/>
      <c r="J29" s="15"/>
      <c r="K29" s="19"/>
      <c r="L29" s="15"/>
      <c r="S29" s="1"/>
    </row>
    <row r="30" spans="1:19" x14ac:dyDescent="0.25">
      <c r="A30" s="16"/>
      <c r="B30" s="16"/>
      <c r="C30" s="17"/>
      <c r="D30" s="17"/>
      <c r="E30" s="17"/>
      <c r="F30" s="15"/>
      <c r="G30" s="17"/>
      <c r="H30" s="11"/>
      <c r="I30" s="15"/>
      <c r="J30" s="15"/>
      <c r="K30" s="19"/>
      <c r="L30" s="15"/>
      <c r="S30" s="1"/>
    </row>
    <row r="31" spans="1:19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20"/>
      <c r="L31" s="15"/>
      <c r="S31" s="1"/>
    </row>
    <row r="32" spans="1:19" x14ac:dyDescent="0.25">
      <c r="S32" s="1"/>
    </row>
    <row r="33" spans="19:19" x14ac:dyDescent="0.25">
      <c r="S33" s="1"/>
    </row>
    <row r="34" spans="19:19" x14ac:dyDescent="0.25">
      <c r="S34" s="1"/>
    </row>
    <row r="35" spans="19:19" x14ac:dyDescent="0.25">
      <c r="S35" s="1"/>
    </row>
    <row r="36" spans="19:19" x14ac:dyDescent="0.25">
      <c r="S36" s="1"/>
    </row>
    <row r="37" spans="19:19" x14ac:dyDescent="0.25">
      <c r="S37" s="1"/>
    </row>
    <row r="38" spans="19:19" x14ac:dyDescent="0.25">
      <c r="S38" s="1"/>
    </row>
    <row r="39" spans="19:19" x14ac:dyDescent="0.25">
      <c r="S39" s="1"/>
    </row>
    <row r="40" spans="19:19" x14ac:dyDescent="0.25">
      <c r="S40" s="1"/>
    </row>
    <row r="41" spans="19:19" x14ac:dyDescent="0.25">
      <c r="S41" s="1"/>
    </row>
    <row r="42" spans="19:19" x14ac:dyDescent="0.25">
      <c r="S42" s="1"/>
    </row>
    <row r="43" spans="19:19" x14ac:dyDescent="0.25">
      <c r="S43" s="1"/>
    </row>
    <row r="44" spans="19:19" x14ac:dyDescent="0.25">
      <c r="S44" s="1"/>
    </row>
    <row r="45" spans="19:19" x14ac:dyDescent="0.25">
      <c r="S45" s="1"/>
    </row>
    <row r="46" spans="19:19" x14ac:dyDescent="0.25">
      <c r="S46" s="1"/>
    </row>
    <row r="47" spans="19:19" x14ac:dyDescent="0.25">
      <c r="S47" s="1"/>
    </row>
    <row r="48" spans="19:19" x14ac:dyDescent="0.25">
      <c r="S48" s="1"/>
    </row>
    <row r="49" spans="19:19" x14ac:dyDescent="0.25">
      <c r="S49" s="1"/>
    </row>
  </sheetData>
  <mergeCells count="11">
    <mergeCell ref="K8:L8"/>
    <mergeCell ref="K9:L9"/>
    <mergeCell ref="K10:L10"/>
    <mergeCell ref="K11:L11"/>
    <mergeCell ref="K1:L1"/>
    <mergeCell ref="K2:L2"/>
    <mergeCell ref="K3:L3"/>
    <mergeCell ref="K4:L4"/>
    <mergeCell ref="K5:L5"/>
    <mergeCell ref="K6:L6"/>
    <mergeCell ref="K7:L7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A2077-DD13-41BA-95C5-E69AD29F6BC6}">
  <sheetPr codeName="Foglio4"/>
  <dimension ref="A1:I16"/>
  <sheetViews>
    <sheetView tabSelected="1" workbookViewId="0">
      <selection activeCell="F18" sqref="F18"/>
    </sheetView>
  </sheetViews>
  <sheetFormatPr defaultRowHeight="15" x14ac:dyDescent="0.25"/>
  <cols>
    <col min="1" max="1" width="17.7109375" bestFit="1" customWidth="1"/>
    <col min="2" max="2" width="21" bestFit="1" customWidth="1"/>
    <col min="3" max="3" width="21" customWidth="1"/>
    <col min="4" max="4" width="19.7109375" customWidth="1"/>
    <col min="5" max="5" width="19.28515625" bestFit="1" customWidth="1"/>
    <col min="6" max="6" width="9.7109375" bestFit="1" customWidth="1"/>
    <col min="7" max="7" width="14" bestFit="1" customWidth="1"/>
    <col min="8" max="8" width="14.42578125" bestFit="1" customWidth="1"/>
    <col min="9" max="9" width="18.5703125" bestFit="1" customWidth="1"/>
  </cols>
  <sheetData>
    <row r="1" spans="1:9" ht="15.75" thickBot="1" x14ac:dyDescent="0.3">
      <c r="A1" s="21" t="s">
        <v>9</v>
      </c>
      <c r="B1" s="22" t="s">
        <v>0</v>
      </c>
      <c r="C1" s="21" t="s">
        <v>11</v>
      </c>
      <c r="D1" s="21" t="s">
        <v>1</v>
      </c>
      <c r="E1" s="22" t="s">
        <v>12</v>
      </c>
      <c r="F1" s="21" t="s">
        <v>2</v>
      </c>
      <c r="G1" s="21" t="s">
        <v>13</v>
      </c>
      <c r="H1" s="21" t="s">
        <v>14</v>
      </c>
      <c r="I1" s="21" t="s">
        <v>10</v>
      </c>
    </row>
    <row r="2" spans="1:9" ht="15.75" thickBot="1" x14ac:dyDescent="0.3">
      <c r="A2" s="28">
        <v>523.09</v>
      </c>
      <c r="B2" s="26">
        <v>156.92699999999999</v>
      </c>
      <c r="C2" s="29">
        <v>1442</v>
      </c>
      <c r="D2" s="27">
        <v>6</v>
      </c>
      <c r="E2" s="26">
        <v>26.16</v>
      </c>
      <c r="F2" s="25">
        <v>8.1543530204356625</v>
      </c>
      <c r="G2" s="24">
        <v>42278</v>
      </c>
      <c r="H2" s="24">
        <v>44086</v>
      </c>
      <c r="I2" s="23">
        <v>557.40435302043568</v>
      </c>
    </row>
    <row r="3" spans="1:9" x14ac:dyDescent="0.25">
      <c r="B3" s="2"/>
      <c r="C3" s="32">
        <v>0</v>
      </c>
      <c r="E3" s="2"/>
      <c r="F3" s="32">
        <v>0</v>
      </c>
      <c r="G3" s="1"/>
      <c r="H3" s="1"/>
      <c r="I3" s="3"/>
    </row>
    <row r="4" spans="1:9" x14ac:dyDescent="0.25">
      <c r="B4" s="2"/>
      <c r="C4" s="4"/>
      <c r="E4" s="2"/>
      <c r="F4" s="3"/>
      <c r="G4" s="1"/>
      <c r="H4" s="1"/>
      <c r="I4" s="3"/>
    </row>
    <row r="5" spans="1:9" ht="15.75" thickBot="1" x14ac:dyDescent="0.3">
      <c r="B5" s="2"/>
      <c r="E5" s="2"/>
      <c r="F5" s="3"/>
    </row>
    <row r="6" spans="1:9" x14ac:dyDescent="0.25">
      <c r="A6" s="8" t="s">
        <v>29</v>
      </c>
      <c r="B6" s="9"/>
      <c r="C6" s="33"/>
      <c r="D6" s="33"/>
      <c r="E6" s="34"/>
      <c r="F6" s="3"/>
    </row>
    <row r="7" spans="1:9" x14ac:dyDescent="0.25">
      <c r="A7" s="10" t="s">
        <v>30</v>
      </c>
      <c r="B7" s="11" t="s">
        <v>31</v>
      </c>
      <c r="C7" s="15"/>
      <c r="D7" s="15"/>
      <c r="E7" s="35"/>
      <c r="F7" s="3"/>
    </row>
    <row r="8" spans="1:9" x14ac:dyDescent="0.25">
      <c r="A8" s="12" t="s">
        <v>30</v>
      </c>
      <c r="B8" s="11" t="s">
        <v>32</v>
      </c>
      <c r="C8" s="15"/>
      <c r="D8" s="15"/>
      <c r="E8" s="35"/>
      <c r="F8" s="3"/>
    </row>
    <row r="9" spans="1:9" x14ac:dyDescent="0.25">
      <c r="A9" s="13" t="s">
        <v>30</v>
      </c>
      <c r="B9" s="11" t="s">
        <v>33</v>
      </c>
      <c r="C9" s="15"/>
      <c r="D9" s="15"/>
      <c r="E9" s="35"/>
      <c r="F9" s="3"/>
    </row>
    <row r="10" spans="1:9" x14ac:dyDescent="0.25">
      <c r="A10" s="36" t="s">
        <v>30</v>
      </c>
      <c r="B10" s="11" t="s">
        <v>34</v>
      </c>
      <c r="C10" s="15"/>
      <c r="D10" s="15"/>
      <c r="E10" s="35"/>
      <c r="F10" s="3"/>
    </row>
    <row r="11" spans="1:9" ht="15.75" thickBot="1" x14ac:dyDescent="0.3">
      <c r="A11" s="37" t="s">
        <v>30</v>
      </c>
      <c r="B11" s="14" t="s">
        <v>36</v>
      </c>
      <c r="C11" s="38"/>
      <c r="D11" s="38"/>
      <c r="E11" s="39"/>
      <c r="F11" s="3"/>
    </row>
    <row r="12" spans="1:9" ht="15.75" thickBot="1" x14ac:dyDescent="0.3">
      <c r="B12" s="2"/>
      <c r="E12" s="2"/>
    </row>
    <row r="13" spans="1:9" ht="15" customHeight="1" x14ac:dyDescent="0.25">
      <c r="A13" s="64" t="s">
        <v>37</v>
      </c>
      <c r="B13" s="65"/>
      <c r="C13" s="66"/>
      <c r="E13" s="2"/>
    </row>
    <row r="14" spans="1:9" ht="15.75" thickBot="1" x14ac:dyDescent="0.3">
      <c r="A14" s="67"/>
      <c r="B14" s="68"/>
      <c r="C14" s="69"/>
      <c r="E14" s="2"/>
    </row>
    <row r="15" spans="1:9" ht="15.75" thickBot="1" x14ac:dyDescent="0.3">
      <c r="A15" s="40" t="s">
        <v>1</v>
      </c>
      <c r="B15" s="41" t="s">
        <v>12</v>
      </c>
      <c r="C15" s="40" t="s">
        <v>38</v>
      </c>
      <c r="E15" s="2"/>
    </row>
    <row r="16" spans="1:9" ht="15.75" thickBot="1" x14ac:dyDescent="0.3">
      <c r="A16" s="28"/>
      <c r="B16" s="26" t="e">
        <v>#DIV/0!</v>
      </c>
      <c r="C16" s="30" t="e">
        <v>#DIV/0!</v>
      </c>
      <c r="E16" s="2"/>
    </row>
  </sheetData>
  <mergeCells count="1">
    <mergeCell ref="A13:C14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43695-DB01-455E-B941-BA524128425E}">
  <sheetPr codeName="Foglio5"/>
  <dimension ref="A1:B10"/>
  <sheetViews>
    <sheetView workbookViewId="0">
      <selection activeCell="H38" sqref="H38"/>
    </sheetView>
  </sheetViews>
  <sheetFormatPr defaultRowHeight="15" x14ac:dyDescent="0.25"/>
  <cols>
    <col min="1" max="1" width="5.7109375" bestFit="1" customWidth="1"/>
    <col min="2" max="2" width="9.7109375" bestFit="1" customWidth="1"/>
  </cols>
  <sheetData>
    <row r="1" spans="1:2" ht="15.75" thickBot="1" x14ac:dyDescent="0.3">
      <c r="A1" s="63" t="s">
        <v>39</v>
      </c>
      <c r="B1" s="63" t="s">
        <v>8</v>
      </c>
    </row>
    <row r="2" spans="1:2" x14ac:dyDescent="0.25">
      <c r="A2" s="51">
        <v>2012</v>
      </c>
      <c r="B2" s="51">
        <v>2.5</v>
      </c>
    </row>
    <row r="3" spans="1:2" x14ac:dyDescent="0.25">
      <c r="A3" s="52">
        <v>2013</v>
      </c>
      <c r="B3" s="52">
        <v>2.5</v>
      </c>
    </row>
    <row r="4" spans="1:2" x14ac:dyDescent="0.25">
      <c r="A4" s="57">
        <v>2014</v>
      </c>
      <c r="B4" s="52">
        <v>1</v>
      </c>
    </row>
    <row r="5" spans="1:2" x14ac:dyDescent="0.25">
      <c r="A5" s="57">
        <v>2015</v>
      </c>
      <c r="B5" s="52">
        <v>0.5</v>
      </c>
    </row>
    <row r="6" spans="1:2" x14ac:dyDescent="0.25">
      <c r="A6" s="57">
        <v>2016</v>
      </c>
      <c r="B6" s="52">
        <v>0.2</v>
      </c>
    </row>
    <row r="7" spans="1:2" x14ac:dyDescent="0.25">
      <c r="A7" s="57">
        <v>2017</v>
      </c>
      <c r="B7" s="52">
        <v>0.1</v>
      </c>
    </row>
    <row r="8" spans="1:2" x14ac:dyDescent="0.25">
      <c r="A8" s="57">
        <v>2018</v>
      </c>
      <c r="B8" s="52">
        <v>0.3</v>
      </c>
    </row>
    <row r="9" spans="1:2" x14ac:dyDescent="0.25">
      <c r="A9" s="57">
        <v>2019</v>
      </c>
      <c r="B9" s="52">
        <v>0.8</v>
      </c>
    </row>
    <row r="10" spans="1:2" ht="15.75" thickBot="1" x14ac:dyDescent="0.3">
      <c r="A10" s="58">
        <v>2020</v>
      </c>
      <c r="B10" s="53">
        <v>0.05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80F48-006B-4529-981B-E0EC25E51078}">
  <sheetPr codeName="Foglio3"/>
  <dimension ref="A1:J21"/>
  <sheetViews>
    <sheetView workbookViewId="0">
      <selection activeCell="J11" sqref="J11"/>
    </sheetView>
  </sheetViews>
  <sheetFormatPr defaultRowHeight="15" x14ac:dyDescent="0.25"/>
  <cols>
    <col min="2" max="2" width="10.5703125" bestFit="1" customWidth="1"/>
  </cols>
  <sheetData>
    <row r="1" spans="1:10" x14ac:dyDescent="0.25">
      <c r="A1" t="s">
        <v>27</v>
      </c>
      <c r="I1" t="s">
        <v>28</v>
      </c>
    </row>
    <row r="2" spans="1:10" x14ac:dyDescent="0.25">
      <c r="B2" s="5" t="s">
        <v>15</v>
      </c>
      <c r="C2" s="82" t="s">
        <v>16</v>
      </c>
      <c r="D2" s="82"/>
      <c r="E2" s="82"/>
      <c r="F2" s="82"/>
      <c r="I2">
        <v>2012</v>
      </c>
      <c r="J2" s="6">
        <v>2.5000000000000001E-2</v>
      </c>
    </row>
    <row r="3" spans="1:10" ht="15" customHeight="1" x14ac:dyDescent="0.25">
      <c r="B3" s="80" t="s">
        <v>17</v>
      </c>
      <c r="C3" s="81" t="s">
        <v>18</v>
      </c>
      <c r="D3" s="81"/>
      <c r="E3" s="81"/>
      <c r="F3" s="81"/>
      <c r="I3">
        <v>2013</v>
      </c>
      <c r="J3" s="6">
        <v>2.5000000000000001E-2</v>
      </c>
    </row>
    <row r="4" spans="1:10" x14ac:dyDescent="0.25">
      <c r="B4" s="80"/>
      <c r="C4" s="81"/>
      <c r="D4" s="81"/>
      <c r="E4" s="81"/>
      <c r="F4" s="81"/>
      <c r="I4">
        <v>2014</v>
      </c>
      <c r="J4" s="7">
        <v>0.01</v>
      </c>
    </row>
    <row r="5" spans="1:10" ht="15" customHeight="1" x14ac:dyDescent="0.25">
      <c r="B5" s="80" t="s">
        <v>19</v>
      </c>
      <c r="C5" s="81" t="s">
        <v>20</v>
      </c>
      <c r="D5" s="81"/>
      <c r="E5" s="81"/>
      <c r="F5" s="81"/>
      <c r="I5">
        <v>2015</v>
      </c>
      <c r="J5" s="6">
        <v>5.0000000000000001E-3</v>
      </c>
    </row>
    <row r="6" spans="1:10" x14ac:dyDescent="0.25">
      <c r="B6" s="80"/>
      <c r="C6" s="81"/>
      <c r="D6" s="81"/>
      <c r="E6" s="81"/>
      <c r="F6" s="81"/>
      <c r="I6">
        <v>2016</v>
      </c>
      <c r="J6" s="6">
        <v>2E-3</v>
      </c>
    </row>
    <row r="7" spans="1:10" x14ac:dyDescent="0.25">
      <c r="B7" s="80"/>
      <c r="C7" s="81"/>
      <c r="D7" s="81"/>
      <c r="E7" s="81"/>
      <c r="F7" s="81"/>
      <c r="I7">
        <v>2017</v>
      </c>
      <c r="J7" s="6">
        <v>1E-3</v>
      </c>
    </row>
    <row r="8" spans="1:10" x14ac:dyDescent="0.25">
      <c r="B8" s="80"/>
      <c r="C8" s="81"/>
      <c r="D8" s="81"/>
      <c r="E8" s="81"/>
      <c r="F8" s="81"/>
      <c r="I8">
        <v>2018</v>
      </c>
      <c r="J8" s="6">
        <v>3.0000000000000001E-3</v>
      </c>
    </row>
    <row r="9" spans="1:10" x14ac:dyDescent="0.25">
      <c r="B9" s="80"/>
      <c r="C9" s="81"/>
      <c r="D9" s="81"/>
      <c r="E9" s="81"/>
      <c r="F9" s="81"/>
      <c r="I9">
        <v>2019</v>
      </c>
      <c r="J9" s="6">
        <v>8.0000000000000002E-3</v>
      </c>
    </row>
    <row r="10" spans="1:10" x14ac:dyDescent="0.25">
      <c r="B10" s="80" t="s">
        <v>21</v>
      </c>
      <c r="C10" s="81" t="s">
        <v>22</v>
      </c>
      <c r="D10" s="81"/>
      <c r="E10" s="81"/>
      <c r="F10" s="81"/>
      <c r="I10">
        <v>2020</v>
      </c>
      <c r="J10" s="6">
        <v>5.0000000000000001E-4</v>
      </c>
    </row>
    <row r="11" spans="1:10" x14ac:dyDescent="0.25">
      <c r="B11" s="80"/>
      <c r="C11" s="81"/>
      <c r="D11" s="81"/>
      <c r="E11" s="81"/>
      <c r="F11" s="81"/>
      <c r="I11">
        <v>2021</v>
      </c>
    </row>
    <row r="12" spans="1:10" x14ac:dyDescent="0.25">
      <c r="B12" s="80"/>
      <c r="C12" s="81"/>
      <c r="D12" s="81"/>
      <c r="E12" s="81"/>
      <c r="F12" s="81"/>
    </row>
    <row r="13" spans="1:10" x14ac:dyDescent="0.25">
      <c r="B13" s="80"/>
      <c r="C13" s="81"/>
      <c r="D13" s="81"/>
      <c r="E13" s="81"/>
      <c r="F13" s="81"/>
    </row>
    <row r="14" spans="1:10" x14ac:dyDescent="0.25">
      <c r="B14" s="80"/>
      <c r="C14" s="81"/>
      <c r="D14" s="81"/>
      <c r="E14" s="81"/>
      <c r="F14" s="81"/>
    </row>
    <row r="15" spans="1:10" ht="15" customHeight="1" x14ac:dyDescent="0.25">
      <c r="B15" s="80" t="s">
        <v>23</v>
      </c>
      <c r="C15" s="81" t="s">
        <v>24</v>
      </c>
      <c r="D15" s="81"/>
      <c r="E15" s="81"/>
      <c r="F15" s="81"/>
    </row>
    <row r="16" spans="1:10" x14ac:dyDescent="0.25">
      <c r="B16" s="80"/>
      <c r="C16" s="81"/>
      <c r="D16" s="81"/>
      <c r="E16" s="81"/>
      <c r="F16" s="81"/>
    </row>
    <row r="17" spans="2:6" x14ac:dyDescent="0.25">
      <c r="B17" s="80"/>
      <c r="C17" s="81"/>
      <c r="D17" s="81"/>
      <c r="E17" s="81"/>
      <c r="F17" s="81"/>
    </row>
    <row r="18" spans="2:6" x14ac:dyDescent="0.25">
      <c r="B18" s="80"/>
      <c r="C18" s="81"/>
      <c r="D18" s="81"/>
      <c r="E18" s="81"/>
      <c r="F18" s="81"/>
    </row>
    <row r="19" spans="2:6" x14ac:dyDescent="0.25">
      <c r="B19" s="80"/>
      <c r="C19" s="81"/>
      <c r="D19" s="81"/>
      <c r="E19" s="81"/>
      <c r="F19" s="81"/>
    </row>
    <row r="20" spans="2:6" x14ac:dyDescent="0.25">
      <c r="B20" s="80" t="s">
        <v>25</v>
      </c>
      <c r="C20" s="81" t="s">
        <v>26</v>
      </c>
      <c r="D20" s="81"/>
      <c r="E20" s="81"/>
      <c r="F20" s="81"/>
    </row>
    <row r="21" spans="2:6" x14ac:dyDescent="0.25">
      <c r="B21" s="80"/>
      <c r="C21" s="81"/>
      <c r="D21" s="81"/>
      <c r="E21" s="81"/>
      <c r="F21" s="81"/>
    </row>
  </sheetData>
  <mergeCells count="11">
    <mergeCell ref="C2:F2"/>
    <mergeCell ref="B3:B4"/>
    <mergeCell ref="B5:B9"/>
    <mergeCell ref="B10:B14"/>
    <mergeCell ref="B15:B19"/>
    <mergeCell ref="B20:B21"/>
    <mergeCell ref="C3:F4"/>
    <mergeCell ref="C5:F9"/>
    <mergeCell ref="C15:F19"/>
    <mergeCell ref="C10:F14"/>
    <mergeCell ref="C20:F2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CALCOLO SANZIONE</vt:lpstr>
      <vt:lpstr>CALCOLO INTERESSI</vt:lpstr>
      <vt:lpstr>CALCOLO_MACRO</vt:lpstr>
      <vt:lpstr>CALCOLO_INTERESSI</vt:lpstr>
      <vt:lpstr>PARAMETRI PER SANZIONE RIDOTTA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 Cavina</dc:creator>
  <cp:lastModifiedBy>Baraldi, Mattia</cp:lastModifiedBy>
  <cp:lastPrinted>2021-08-05T11:03:10Z</cp:lastPrinted>
  <dcterms:created xsi:type="dcterms:W3CDTF">2021-08-05T08:31:23Z</dcterms:created>
  <dcterms:modified xsi:type="dcterms:W3CDTF">2021-09-10T13:38:35Z</dcterms:modified>
</cp:coreProperties>
</file>